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ELILLO\Downloads\"/>
    </mc:Choice>
  </mc:AlternateContent>
  <xr:revisionPtr revIDLastSave="0" documentId="8_{0D932A7F-1F1A-470F-973A-448156D8A6D8}" xr6:coauthVersionLast="47" xr6:coauthVersionMax="47" xr10:uidLastSave="{00000000-0000-0000-0000-000000000000}"/>
  <bookViews>
    <workbookView xWindow="-108" yWindow="-108" windowWidth="23256" windowHeight="12456" xr2:uid="{BC2DADC9-37AA-4A30-A1BE-5B381AFE2D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C6" i="1"/>
  <c r="F24" i="1"/>
  <c r="F23" i="1"/>
  <c r="C1" i="1"/>
  <c r="C7" i="1" s="1"/>
  <c r="C10" i="1"/>
  <c r="C11" i="1"/>
  <c r="C12" i="1"/>
  <c r="C9" i="1"/>
  <c r="C17" i="1"/>
  <c r="C16" i="1"/>
  <c r="C3" i="1" l="1"/>
  <c r="C14" i="1" s="1"/>
  <c r="C15" i="1" l="1"/>
  <c r="D25" i="1" s="1"/>
  <c r="F25" i="1" s="1"/>
  <c r="C8" i="1"/>
  <c r="C18" i="1" l="1"/>
  <c r="D28" i="1" s="1"/>
  <c r="F28" i="1" s="1"/>
  <c r="C19" i="1" l="1"/>
  <c r="D22" i="1" s="1"/>
  <c r="F22" i="1" s="1"/>
  <c r="F26" i="1" s="1"/>
  <c r="F27" i="1" l="1"/>
  <c r="F29" i="1" s="1"/>
  <c r="E27" i="1"/>
</calcChain>
</file>

<file path=xl/sharedStrings.xml><?xml version="1.0" encoding="utf-8"?>
<sst xmlns="http://schemas.openxmlformats.org/spreadsheetml/2006/main" count="44" uniqueCount="42">
  <si>
    <t>Loan</t>
  </si>
  <si>
    <t>Rate</t>
  </si>
  <si>
    <t>Total</t>
  </si>
  <si>
    <t>Home Purchase</t>
  </si>
  <si>
    <t>Improvements</t>
  </si>
  <si>
    <t>Sale of Home</t>
  </si>
  <si>
    <t>Interest</t>
  </si>
  <si>
    <t>Loan Principal</t>
  </si>
  <si>
    <t>Pre Sale</t>
  </si>
  <si>
    <t>Post Sale</t>
  </si>
  <si>
    <t>Comission Rate</t>
  </si>
  <si>
    <t>Emp Comission</t>
  </si>
  <si>
    <t>Imrpovement Budget (% of HP)</t>
  </si>
  <si>
    <t>Loan Total</t>
  </si>
  <si>
    <t>Sales Multiple (* Loan Total)</t>
  </si>
  <si>
    <t>Lower Price, Lower Profit</t>
  </si>
  <si>
    <t>Mid Price, Mid Profit</t>
  </si>
  <si>
    <t>High Price, High Profit</t>
  </si>
  <si>
    <t>Acuquistion Cost</t>
  </si>
  <si>
    <t>Closing Costs</t>
  </si>
  <si>
    <t>Marketing/Staging</t>
  </si>
  <si>
    <t>Property Tax</t>
  </si>
  <si>
    <t>Insurance</t>
  </si>
  <si>
    <t>Utilities</t>
  </si>
  <si>
    <t>Lowest Imrovement, Least Cost</t>
  </si>
  <si>
    <t>Mid Improvement, Mid Cost</t>
  </si>
  <si>
    <t>Most Improvement, Most Cost</t>
  </si>
  <si>
    <t>Lowest Rate</t>
  </si>
  <si>
    <t>Mid Rate</t>
  </si>
  <si>
    <t>High Rate</t>
  </si>
  <si>
    <t>Owner Retention</t>
  </si>
  <si>
    <t>10x Rate</t>
  </si>
  <si>
    <t>Amount</t>
  </si>
  <si>
    <t>Salaries</t>
  </si>
  <si>
    <t>Commissions</t>
  </si>
  <si>
    <t>Revenue</t>
  </si>
  <si>
    <t>Profit</t>
  </si>
  <si>
    <t>Benefits</t>
  </si>
  <si>
    <t>-</t>
  </si>
  <si>
    <t>Taxable Income</t>
  </si>
  <si>
    <t>Owner Draw</t>
  </si>
  <si>
    <t>Remainder for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</si>
</sst>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[$$-409]* #,##0.00_);_([$$-409]* \(#,##0.00\);_([$$-409]* &quot;-&quot;??_);_(@_)"/>
    <numFmt numFmtId="166" formatCode="_([$$-409]* #,##0_);_([$$-409]* \(#,##0\);_([$$-409]* &quot;-&quot;??_);_(@_)"/>
    <numFmt numFmtId="173" formatCode="0.000"/>
    <numFmt numFmtId="179" formatCode="0.00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166" fontId="0" fillId="0" borderId="0" xfId="0" applyNumberFormat="1"/>
    <xf numFmtId="10" fontId="0" fillId="0" borderId="0" xfId="0" applyNumberFormat="1"/>
    <xf numFmtId="10" fontId="0" fillId="0" borderId="0" xfId="1" applyNumberFormat="1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0" fontId="0" fillId="0" borderId="0" xfId="0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166" fontId="0" fillId="0" borderId="0" xfId="0" applyNumberFormat="1" applyBorder="1"/>
    <xf numFmtId="166" fontId="2" fillId="0" borderId="0" xfId="0" applyNumberFormat="1" applyFont="1"/>
    <xf numFmtId="10" fontId="3" fillId="0" borderId="0" xfId="0" applyNumberFormat="1" applyFont="1"/>
    <xf numFmtId="179" fontId="3" fillId="0" borderId="0" xfId="1" applyNumberFormat="1" applyFont="1"/>
    <xf numFmtId="10" fontId="3" fillId="0" borderId="0" xfId="0" applyNumberFormat="1" applyFont="1" applyAlignment="1">
      <alignment horizontal="right"/>
    </xf>
    <xf numFmtId="164" fontId="0" fillId="4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0" xfId="0" applyFont="1" applyAlignment="1">
      <alignment horizontal="right"/>
    </xf>
    <xf numFmtId="10" fontId="0" fillId="0" borderId="0" xfId="1" applyNumberFormat="1" applyFont="1" applyAlignment="1">
      <alignment horizontal="center" vertical="center"/>
    </xf>
    <xf numFmtId="164" fontId="0" fillId="0" borderId="1" xfId="0" applyNumberFormat="1" applyBorder="1"/>
    <xf numFmtId="164" fontId="0" fillId="0" borderId="2" xfId="0" applyNumberFormat="1" applyBorder="1"/>
    <xf numFmtId="166" fontId="0" fillId="0" borderId="2" xfId="0" applyNumberFormat="1" applyBorder="1"/>
    <xf numFmtId="0" fontId="0" fillId="0" borderId="2" xfId="0" applyBorder="1" applyAlignment="1">
      <alignment horizontal="center"/>
    </xf>
    <xf numFmtId="9" fontId="0" fillId="0" borderId="0" xfId="0" applyNumberFormat="1"/>
    <xf numFmtId="164" fontId="4" fillId="0" borderId="0" xfId="0" applyNumberFormat="1" applyFont="1"/>
    <xf numFmtId="10" fontId="3" fillId="0" borderId="0" xfId="1" applyNumberFormat="1" applyFont="1" applyAlignment="1">
      <alignment horizontal="right"/>
    </xf>
  </cellXfs>
  <cellStyles count="2">
    <cellStyle name="Normal" xfId="0" builtinId="0"/>
    <cellStyle name="Percent" xfId="1" builtinId="5"/>
  </cellStyles>
  <dxfs count="9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gray0625">
          <bgColor rgb="FFFF0000"/>
        </patternFill>
      </fill>
    </dxf>
    <dxf>
      <fill>
        <patternFill patternType="gray0625">
          <bgColor rgb="FFFFFF00"/>
        </patternFill>
      </fill>
    </dxf>
    <dxf>
      <fill>
        <patternFill patternType="gray0625">
          <bgColor theme="9" tint="0.39994506668294322"/>
        </patternFill>
      </fill>
    </dxf>
    <dxf>
      <fill>
        <patternFill patternType="mediumGray">
          <fgColor theme="9" tint="0.39994506668294322"/>
          <bgColor theme="9" tint="0.59996337778862885"/>
        </patternFill>
      </fill>
    </dxf>
    <dxf>
      <fill>
        <patternFill patternType="gray125">
          <bgColor rgb="FFFFFF00"/>
        </patternFill>
      </fill>
    </dxf>
    <dxf>
      <fill>
        <patternFill patternType="gray125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1F4FE-9889-4545-8ED4-BDD62AF4ACF5}">
  <dimension ref="B1:G29"/>
  <sheetViews>
    <sheetView tabSelected="1" topLeftCell="A4" workbookViewId="0">
      <selection activeCell="C3" sqref="C3"/>
    </sheetView>
  </sheetViews>
  <sheetFormatPr defaultRowHeight="14.4" x14ac:dyDescent="0.3"/>
  <cols>
    <col min="2" max="2" width="15.5546875" bestFit="1" customWidth="1"/>
    <col min="3" max="3" width="21.109375" style="3" bestFit="1" customWidth="1"/>
    <col min="4" max="4" width="26.21875" bestFit="1" customWidth="1"/>
    <col min="5" max="5" width="27.33203125" style="6" bestFit="1" customWidth="1"/>
    <col min="6" max="6" width="22.88671875" bestFit="1" customWidth="1"/>
    <col min="7" max="7" width="24.88671875" bestFit="1" customWidth="1"/>
  </cols>
  <sheetData>
    <row r="1" spans="2:7" x14ac:dyDescent="0.3">
      <c r="B1" t="s">
        <v>0</v>
      </c>
      <c r="C1" s="3">
        <f>-$C$5*1.16</f>
        <v>406000</v>
      </c>
      <c r="E1" s="15" t="s">
        <v>27</v>
      </c>
      <c r="F1" s="14" t="s">
        <v>28</v>
      </c>
      <c r="G1" s="23" t="s">
        <v>29</v>
      </c>
    </row>
    <row r="2" spans="2:7" x14ac:dyDescent="0.3">
      <c r="B2" t="s">
        <v>1</v>
      </c>
      <c r="C2" s="5">
        <f>F2</f>
        <v>7.4999999999999997E-2</v>
      </c>
      <c r="E2" s="25">
        <v>5.5E-2</v>
      </c>
      <c r="F2" s="25">
        <v>7.4999999999999997E-2</v>
      </c>
      <c r="G2" s="25">
        <v>9.5000000000000001E-2</v>
      </c>
    </row>
    <row r="3" spans="2:7" x14ac:dyDescent="0.3">
      <c r="B3" t="s">
        <v>13</v>
      </c>
      <c r="C3" s="3">
        <f>C1*(1+C2)</f>
        <v>436450</v>
      </c>
    </row>
    <row r="4" spans="2:7" x14ac:dyDescent="0.3">
      <c r="B4" t="s">
        <v>8</v>
      </c>
    </row>
    <row r="5" spans="2:7" x14ac:dyDescent="0.3">
      <c r="B5" s="24" t="s">
        <v>3</v>
      </c>
      <c r="C5" s="18">
        <v>-350000</v>
      </c>
      <c r="D5" s="4"/>
      <c r="E5" s="22" t="s">
        <v>24</v>
      </c>
      <c r="F5" s="14" t="s">
        <v>25</v>
      </c>
      <c r="G5" s="23" t="s">
        <v>26</v>
      </c>
    </row>
    <row r="6" spans="2:7" x14ac:dyDescent="0.3">
      <c r="B6" s="1" t="s">
        <v>4</v>
      </c>
      <c r="C6" s="3">
        <f>C5*F6</f>
        <v>-61249.999999999993</v>
      </c>
      <c r="D6" s="8" t="s">
        <v>12</v>
      </c>
      <c r="E6" s="10">
        <v>0.12</v>
      </c>
      <c r="F6" s="11">
        <v>0.17499999999999999</v>
      </c>
      <c r="G6" s="10">
        <v>0.23</v>
      </c>
    </row>
    <row r="7" spans="2:7" x14ac:dyDescent="0.3">
      <c r="B7" s="1" t="s">
        <v>7</v>
      </c>
      <c r="C7" s="3">
        <f>-$C$1</f>
        <v>-406000</v>
      </c>
      <c r="D7" s="9"/>
    </row>
    <row r="8" spans="2:7" x14ac:dyDescent="0.3">
      <c r="B8" s="1" t="s">
        <v>6</v>
      </c>
      <c r="C8" s="3">
        <f>$C$1-$C$3</f>
        <v>-30450</v>
      </c>
      <c r="D8" s="9"/>
    </row>
    <row r="9" spans="2:7" x14ac:dyDescent="0.3">
      <c r="B9" s="1" t="s">
        <v>18</v>
      </c>
      <c r="C9" s="3">
        <f>$C$5*D9</f>
        <v>-10500</v>
      </c>
      <c r="D9" s="19">
        <v>0.03</v>
      </c>
    </row>
    <row r="10" spans="2:7" x14ac:dyDescent="0.3">
      <c r="B10" s="1" t="s">
        <v>21</v>
      </c>
      <c r="C10" s="3">
        <f t="shared" ref="C10:C12" si="0">$C$5*D10</f>
        <v>-5250</v>
      </c>
      <c r="D10" s="19">
        <v>1.4999999999999999E-2</v>
      </c>
    </row>
    <row r="11" spans="2:7" x14ac:dyDescent="0.3">
      <c r="B11" s="1" t="s">
        <v>22</v>
      </c>
      <c r="C11" s="3">
        <f t="shared" si="0"/>
        <v>-1400</v>
      </c>
      <c r="D11" s="19">
        <v>4.0000000000000001E-3</v>
      </c>
    </row>
    <row r="12" spans="2:7" x14ac:dyDescent="0.3">
      <c r="B12" s="1" t="s">
        <v>23</v>
      </c>
      <c r="C12" s="3">
        <f t="shared" si="0"/>
        <v>-2184</v>
      </c>
      <c r="D12" s="20">
        <v>6.2399999999999999E-3</v>
      </c>
    </row>
    <row r="13" spans="2:7" x14ac:dyDescent="0.3">
      <c r="B13" t="s">
        <v>9</v>
      </c>
      <c r="D13" s="9"/>
      <c r="E13" s="13" t="s">
        <v>15</v>
      </c>
      <c r="F13" s="12" t="s">
        <v>16</v>
      </c>
      <c r="G13" s="16" t="s">
        <v>17</v>
      </c>
    </row>
    <row r="14" spans="2:7" x14ac:dyDescent="0.3">
      <c r="B14" s="1" t="s">
        <v>5</v>
      </c>
      <c r="C14" s="3">
        <f>$C$3*F14</f>
        <v>545562.5</v>
      </c>
      <c r="D14" s="8" t="s">
        <v>14</v>
      </c>
      <c r="E14" s="6">
        <v>1.1499999999999999</v>
      </c>
      <c r="F14" s="6">
        <v>1.25</v>
      </c>
      <c r="G14" s="6">
        <v>1.4</v>
      </c>
    </row>
    <row r="15" spans="2:7" x14ac:dyDescent="0.3">
      <c r="B15" s="1" t="s">
        <v>11</v>
      </c>
      <c r="C15" s="17">
        <f>-C14*E15</f>
        <v>-5455.625</v>
      </c>
      <c r="D15" s="8" t="s">
        <v>10</v>
      </c>
      <c r="E15" s="6">
        <v>0.01</v>
      </c>
    </row>
    <row r="16" spans="2:7" x14ac:dyDescent="0.3">
      <c r="B16" s="1" t="s">
        <v>19</v>
      </c>
      <c r="C16" s="17">
        <f>C5*D16</f>
        <v>-3500</v>
      </c>
      <c r="D16" s="21">
        <v>0.01</v>
      </c>
    </row>
    <row r="17" spans="2:6" x14ac:dyDescent="0.3">
      <c r="B17" s="1" t="s">
        <v>20</v>
      </c>
      <c r="C17" s="17">
        <f>C5*D17</f>
        <v>-3500</v>
      </c>
      <c r="D17" s="21">
        <v>0.01</v>
      </c>
    </row>
    <row r="18" spans="2:6" x14ac:dyDescent="0.3">
      <c r="B18" s="1" t="s">
        <v>30</v>
      </c>
      <c r="C18" s="17">
        <f>SUM(C5:C17)*D18</f>
        <v>-10017.813749999999</v>
      </c>
      <c r="D18" s="32">
        <v>0.03</v>
      </c>
    </row>
    <row r="19" spans="2:6" x14ac:dyDescent="0.3">
      <c r="B19" s="1" t="s">
        <v>2</v>
      </c>
      <c r="C19" s="18">
        <f>SUM(C1,C5:C18)</f>
        <v>62055.061249999999</v>
      </c>
    </row>
    <row r="20" spans="2:6" x14ac:dyDescent="0.3">
      <c r="B20" s="1"/>
    </row>
    <row r="21" spans="2:6" x14ac:dyDescent="0.3">
      <c r="C21" s="3" t="s">
        <v>31</v>
      </c>
      <c r="E21" s="6" t="s">
        <v>32</v>
      </c>
      <c r="F21" t="s">
        <v>2</v>
      </c>
    </row>
    <row r="22" spans="2:6" ht="15" thickBot="1" x14ac:dyDescent="0.35">
      <c r="C22" s="28" t="s">
        <v>35</v>
      </c>
      <c r="D22" s="28">
        <f>C19</f>
        <v>62055.061249999999</v>
      </c>
      <c r="E22" s="29">
        <v>10</v>
      </c>
      <c r="F22" s="27">
        <f>D22*E22</f>
        <v>620550.61250000005</v>
      </c>
    </row>
    <row r="23" spans="2:6" x14ac:dyDescent="0.3">
      <c r="C23" s="3" t="s">
        <v>33</v>
      </c>
      <c r="D23" s="2">
        <v>-55000</v>
      </c>
      <c r="E23" s="6">
        <v>3</v>
      </c>
      <c r="F23" s="2">
        <f>D23*E23</f>
        <v>-165000</v>
      </c>
    </row>
    <row r="24" spans="2:6" x14ac:dyDescent="0.3">
      <c r="C24" s="3" t="s">
        <v>37</v>
      </c>
      <c r="D24" s="2">
        <v>-15000</v>
      </c>
      <c r="E24" s="6">
        <v>3</v>
      </c>
      <c r="F24" s="2">
        <f>D24*E24</f>
        <v>-45000</v>
      </c>
    </row>
    <row r="25" spans="2:6" ht="15" thickBot="1" x14ac:dyDescent="0.35">
      <c r="C25" s="3" t="s">
        <v>34</v>
      </c>
      <c r="D25" s="3">
        <f>C15</f>
        <v>-5455.625</v>
      </c>
      <c r="E25" s="6">
        <v>10</v>
      </c>
      <c r="F25" s="26">
        <f>D25*E25</f>
        <v>-54556.25</v>
      </c>
    </row>
    <row r="26" spans="2:6" ht="15.6" thickTop="1" thickBot="1" x14ac:dyDescent="0.35">
      <c r="C26" s="3" t="s">
        <v>36</v>
      </c>
      <c r="F26" s="27">
        <f>SUM(F22:F25)</f>
        <v>355994.36250000005</v>
      </c>
    </row>
    <row r="27" spans="2:6" x14ac:dyDescent="0.3">
      <c r="C27" s="3" t="s">
        <v>39</v>
      </c>
      <c r="D27" s="30">
        <v>0.3</v>
      </c>
      <c r="E27" s="7">
        <f>D27*F26</f>
        <v>106798.30875000001</v>
      </c>
      <c r="F27" s="2">
        <f>F26*(1-D27)</f>
        <v>249196.05375000002</v>
      </c>
    </row>
    <row r="28" spans="2:6" x14ac:dyDescent="0.3">
      <c r="C28" s="3" t="s">
        <v>40</v>
      </c>
      <c r="D28" s="3">
        <f>C18</f>
        <v>-10017.813749999999</v>
      </c>
      <c r="E28" s="6">
        <v>10</v>
      </c>
      <c r="F28" s="2">
        <f>D28*E28</f>
        <v>-100178.1375</v>
      </c>
    </row>
    <row r="29" spans="2:6" x14ac:dyDescent="0.3">
      <c r="C29" s="3" t="s">
        <v>41</v>
      </c>
      <c r="D29" s="10" t="s">
        <v>38</v>
      </c>
      <c r="E29" s="10" t="s">
        <v>38</v>
      </c>
      <c r="F29" s="31">
        <f>F27+F28</f>
        <v>149017.91625000001</v>
      </c>
    </row>
  </sheetData>
  <conditionalFormatting sqref="C6">
    <cfRule type="cellIs" dxfId="8" priority="7" operator="equal">
      <formula>$G$6*$C$5</formula>
    </cfRule>
    <cfRule type="cellIs" dxfId="7" priority="8" operator="equal">
      <formula>$C$5*$F$6</formula>
    </cfRule>
    <cfRule type="cellIs" dxfId="6" priority="9" operator="equal">
      <formula>$C$5*$E$6</formula>
    </cfRule>
  </conditionalFormatting>
  <conditionalFormatting sqref="C14">
    <cfRule type="cellIs" dxfId="5" priority="4" operator="equal">
      <formula>$G$14*$C$3</formula>
    </cfRule>
    <cfRule type="cellIs" dxfId="4" priority="5" operator="equal">
      <formula>$F$14*$C$3</formula>
    </cfRule>
    <cfRule type="cellIs" dxfId="3" priority="6" operator="equal">
      <formula>$E$14*$C$3</formula>
    </cfRule>
  </conditionalFormatting>
  <conditionalFormatting sqref="C2">
    <cfRule type="cellIs" dxfId="2" priority="1" operator="equal">
      <formula>$G$2</formula>
    </cfRule>
    <cfRule type="cellIs" dxfId="1" priority="2" operator="equal">
      <formula>$F$2</formula>
    </cfRule>
    <cfRule type="cellIs" dxfId="0" priority="3" operator="equal">
      <formula>$E$2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CGI Federal,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Pelillo, Sean R (CGI Federal)</dc:creator>
  <cp:lastModifiedBy>Pelillo, Sean R (CGI Federal)</cp:lastModifiedBy>
  <dcterms:created xsi:type="dcterms:W3CDTF">2026-10-26T14:25:16Z</dcterms:created>
  <dcterms:modified xsi:type="dcterms:W3CDTF">2026-10-26T16:37:47Z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95a805-dabd-4ca3-bd4e-37ed6d9bc71d_Enabled">
    <vt:lpwstr>true</vt:lpwstr>
  </property>
  <property fmtid="{D5CDD505-2E9C-101B-9397-08002B2CF9AE}" pid="3" name="MSIP_Label_b995a805-dabd-4ca3-bd4e-37ed6d9bc71d_SetDate">
    <vt:lpwstr>2026-10-26T16:37:46Z</vt:lpwstr>
  </property>
  <property fmtid="{D5CDD505-2E9C-101B-9397-08002B2CF9AE}" pid="4" name="MSIP_Label_b995a805-dabd-4ca3-bd4e-37ed6d9bc71d_Method">
    <vt:lpwstr>Privileged</vt:lpwstr>
  </property>
  <property fmtid="{D5CDD505-2E9C-101B-9397-08002B2CF9AE}" pid="5" name="MSIP_Label_b995a805-dabd-4ca3-bd4e-37ed6d9bc71d_Name">
    <vt:lpwstr>Personal</vt:lpwstr>
  </property>
  <property fmtid="{D5CDD505-2E9C-101B-9397-08002B2CF9AE}" pid="6" name="MSIP_Label_b995a805-dabd-4ca3-bd4e-37ed6d9bc71d_SiteId">
    <vt:lpwstr>b6ed5b7e-5de0-464b-95c0-acbb43267417</vt:lpwstr>
  </property>
  <property fmtid="{D5CDD505-2E9C-101B-9397-08002B2CF9AE}" pid="7" name="MSIP_Label_b995a805-dabd-4ca3-bd4e-37ed6d9bc71d_ActionId">
    <vt:lpwstr>4f539ef5-54a8-4946-8146-ddf2faec5205</vt:lpwstr>
  </property>
  <property fmtid="{D5CDD505-2E9C-101B-9397-08002B2CF9AE}" pid="8" name="MSIP_Label_b995a805-dabd-4ca3-bd4e-37ed6d9bc71d_ContentBits">
    <vt:lpwstr>0</vt:lpwstr>
  </property>
  <property fmtid="{D5CDD505-2E9C-101B-9397-08002B2CF9AE}" pid="9" name="MSIP_Label_b995a805-dabd-4ca3-bd4e-37ed6d9bc71d_Tag">
    <vt:lpwstr>10, 0, 1, 1</vt:lpwstr>
  </property>
</Properties>
</file>